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barnard/Library/CloudStorage/Dropbox/Homezies/Lizzie/Work/Transfer course checks/"/>
    </mc:Choice>
  </mc:AlternateContent>
  <xr:revisionPtr revIDLastSave="0" documentId="13_ncr:1_{EB3DE094-F5C3-8E44-8F69-C0143B652576}" xr6:coauthVersionLast="47" xr6:coauthVersionMax="47" xr10:uidLastSave="{00000000-0000-0000-0000-000000000000}"/>
  <bookViews>
    <workbookView xWindow="52660" yWindow="10840" windowWidth="28800" windowHeight="17960" activeTab="1" xr2:uid="{1E2A03B8-6088-A544-9237-1B227DEF447E}"/>
  </bookViews>
  <sheets>
    <sheet name="How to" sheetId="4" r:id="rId1"/>
    <sheet name="StudentData" sheetId="1" r:id="rId2"/>
    <sheet name="Validator" sheetId="5" r:id="rId3"/>
    <sheet name="Berkeley_REQ" sheetId="2" r:id="rId4"/>
    <sheet name="Berkeley_StronglyRec" sheetId="8" r:id="rId5"/>
    <sheet name="2025" sheetId="6" r:id="rId6"/>
    <sheet name="2024" sheetId="7" r:id="rId7"/>
  </sheets>
  <definedNames>
    <definedName name="MyList" localSheetId="4">Berkeley_StronglyRec!$A$2:$A$8</definedName>
    <definedName name="MyList">Berkeley_REQ!$A$2:$A$8</definedName>
    <definedName name="RequirementsList">Berkeley_REQ!$A$2:$A$8</definedName>
    <definedName name="StronglyRec_List">Berkeley_StronglyRec!$A$2:$A$4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D2" i="1" a="1"/>
  <c r="D12" i="1" a="1"/>
  <c r="D13" i="1" a="1"/>
  <c r="D14" i="1" a="1"/>
  <c r="D11" i="1" a="1"/>
  <c r="D5" i="1" a="1"/>
  <c r="D6" i="1" a="1"/>
  <c r="D9" i="1" a="1"/>
  <c r="D10" i="1" a="1"/>
  <c r="D8" i="1" a="1"/>
  <c r="D3" i="1" a="1"/>
  <c r="D4" i="1" a="1"/>
  <c r="D7" i="1" a="1"/>
  <c r="E2" i="1" l="1"/>
  <c r="D2" i="1"/>
  <c r="D7" i="1"/>
  <c r="D4" i="1"/>
  <c r="D3" i="1"/>
  <c r="D8" i="1"/>
  <c r="D10" i="1"/>
  <c r="D9" i="1"/>
  <c r="D6" i="1"/>
  <c r="D5" i="1"/>
  <c r="D11" i="1"/>
  <c r="D14" i="1"/>
  <c r="D13" i="1"/>
  <c r="D12" i="1"/>
  <c r="H2" i="5" l="1" a="1"/>
  <c r="H2" i="5" s="1"/>
  <c r="F5" i="5" a="1"/>
  <c r="F5" i="5" s="1"/>
  <c r="F2" i="5" a="1"/>
  <c r="F2" i="5" s="1"/>
  <c r="F4" i="5" a="1"/>
  <c r="F4" i="5" s="1"/>
  <c r="A2" i="5"/>
  <c r="C2" i="5" a="1"/>
  <c r="C2" i="5" s="1"/>
  <c r="F3" i="5" a="1"/>
  <c r="F3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<sst xmlns="http://schemas.openxmlformats.org/spreadsheetml/2006/main" count="153" uniqueCount="47">
  <si>
    <t>MATH 1</t>
  </si>
  <si>
    <t>CHEMISTRY 2</t>
  </si>
  <si>
    <t>Contra Costa</t>
  </si>
  <si>
    <t>CHEMISTRY 3</t>
  </si>
  <si>
    <t>Diablo Valley</t>
  </si>
  <si>
    <t>BIOLOGY 1</t>
  </si>
  <si>
    <t>BIOLOGY 2</t>
  </si>
  <si>
    <t>BIOLOGY 3 -- 1 of 2</t>
  </si>
  <si>
    <t>BIOLOGY 3 -- 2 of 2</t>
  </si>
  <si>
    <t>Biology 2b</t>
  </si>
  <si>
    <t xml:space="preserve">Diablo Valley </t>
  </si>
  <si>
    <t>Biology 2a</t>
  </si>
  <si>
    <t>Biology 1b</t>
  </si>
  <si>
    <t>Biology 1a</t>
  </si>
  <si>
    <t>Chem 203</t>
  </si>
  <si>
    <t>Chem 201</t>
  </si>
  <si>
    <t>Math 110</t>
  </si>
  <si>
    <t>Year</t>
  </si>
  <si>
    <t>School</t>
  </si>
  <si>
    <t>Course</t>
  </si>
  <si>
    <t>Berkeley Course Equivalent</t>
  </si>
  <si>
    <t>Berkeley equivalent</t>
  </si>
  <si>
    <t>Math 800</t>
  </si>
  <si>
    <t>PHYSICS 50</t>
  </si>
  <si>
    <t>Chem 204</t>
  </si>
  <si>
    <t>Chem 01</t>
  </si>
  <si>
    <t>Missing Requirements</t>
  </si>
  <si>
    <t>PHYSICS</t>
  </si>
  <si>
    <t>MATH</t>
  </si>
  <si>
    <t>CHEMISTRY</t>
  </si>
  <si>
    <t>Course series checks</t>
  </si>
  <si>
    <t>BIOLOGY</t>
  </si>
  <si>
    <t>List of requirements</t>
  </si>
  <si>
    <t># of Manual Reviews Needed (because courses didn't articulate)</t>
  </si>
  <si>
    <t>MATH 2</t>
  </si>
  <si>
    <t>MATH 3</t>
  </si>
  <si>
    <t>CHEMISTRY 4</t>
  </si>
  <si>
    <t>Math 120</t>
  </si>
  <si>
    <t>Math 130</t>
  </si>
  <si>
    <t>Chemistry 204</t>
  </si>
  <si>
    <t>Math 125</t>
  </si>
  <si>
    <t>Strongly recommended courses taken/planned</t>
  </si>
  <si>
    <t>Part of series?</t>
  </si>
  <si>
    <t>No</t>
  </si>
  <si>
    <t>Yes, chemistry series</t>
  </si>
  <si>
    <t>Yes, biology series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</si>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</sst>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Aptos Narrow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wrapText="1"/>
    </xf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4D26-3C69-C146-8130-8B0D5F3D0B4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47FA-15F3-5E46-AB86-D776BDD0FBC0}">
  <dimension ref="A1:E52"/>
  <sheetViews>
    <sheetView tabSelected="1" workbookViewId="0">
      <selection activeCell="B11" sqref="B11"/>
    </sheetView>
  </sheetViews>
  <sheetFormatPr baseColWidth="10" defaultRowHeight="16" x14ac:dyDescent="0.2"/>
  <cols>
    <col min="2" max="2" width="14.5" customWidth="1"/>
    <col min="3" max="3" width="21.5" customWidth="1"/>
    <col min="4" max="4" width="28.1640625" style="2" customWidth="1"/>
    <col min="5" max="5" width="13.1640625" style="2" customWidth="1"/>
    <col min="6" max="6" width="19.1640625" customWidth="1"/>
    <col min="7" max="7" width="14.6640625" customWidth="1"/>
  </cols>
  <sheetData>
    <row r="1" spans="1:5" x14ac:dyDescent="0.2">
      <c r="A1" s="3" t="s">
        <v>17</v>
      </c>
      <c r="B1" s="3" t="s">
        <v>18</v>
      </c>
      <c r="C1" s="3" t="s">
        <v>19</v>
      </c>
      <c r="D1" s="4" t="s">
        <v>20</v>
      </c>
      <c r="E1" s="4" t="s">
        <v>42</v>
      </c>
    </row>
    <row r="2" spans="1:5" ht="17" x14ac:dyDescent="0.25">
      <c r="A2">
        <v>2025</v>
      </c>
      <c r="B2" t="s">
        <v>2</v>
      </c>
      <c r="C2" t="s">
        <v>16</v>
      </c>
      <c r="D2" s="1" t="str" cm="1">
        <f t="array" aca="1" ref="D2" ca="1">_xlfn.XLOOKUP(B2&amp;C2,INDIRECT("'"&amp;A2&amp;"'!$A:$A")&amp;INDIRECT("'"&amp;A2&amp;"'!$B:$B"),INDIRECT("'"&amp;A2&amp;"'!$C:$C"),"NOT ARTICULATED")</f>
        <v>MATH 1</v>
      </c>
      <c r="E2" s="1" t="str" cm="1">
        <f t="array" aca="1" ref="E2" ca="1">_xlfn.XLOOKUP(B2&amp;C2,INDIRECT("'"&amp;A2&amp;"'!$A:$A")&amp;INDIRECT("'"&amp;A2&amp;"'!$B:$B"),INDIRECT("'"&amp;A2&amp;"'!$C:$C"),"NOT ARTICULATED")</f>
        <v>MATH 1</v>
      </c>
    </row>
    <row r="3" spans="1:5" ht="17" x14ac:dyDescent="0.25">
      <c r="A3">
        <v>2025</v>
      </c>
      <c r="B3" t="s">
        <v>2</v>
      </c>
      <c r="C3" t="s">
        <v>22</v>
      </c>
      <c r="D3" s="1" t="str" cm="1">
        <f t="array" aca="1" ref="D3" ca="1">_xlfn.XLOOKUP(B3&amp;C3, INDIRECT("'"&amp;A3&amp;"'!$A:$A") &amp; INDIRECT("'"&amp;A3&amp;"'!$B:$B"), INDIRECT("'"&amp;A3&amp;"'!$C:$C"), "NOT ARTICULATED")</f>
        <v>NOT ARTICULATED</v>
      </c>
    </row>
    <row r="4" spans="1:5" ht="17" x14ac:dyDescent="0.25">
      <c r="A4">
        <v>2025</v>
      </c>
      <c r="B4" t="s">
        <v>2</v>
      </c>
      <c r="C4" t="s">
        <v>23</v>
      </c>
      <c r="D4" s="1" t="str" cm="1">
        <f t="array" aca="1" ref="D4" ca="1">_xlfn.XLOOKUP(B4&amp;C4, INDIRECT("'"&amp;A4&amp;"'!$A:$A") &amp; INDIRECT("'"&amp;A4&amp;"'!$B:$B"), INDIRECT("'"&amp;A4&amp;"'!$C:$C"), "NOT ARTICULATED")</f>
        <v>NOT ARTICULATED</v>
      </c>
    </row>
    <row r="5" spans="1:5" ht="17" x14ac:dyDescent="0.25">
      <c r="A5">
        <v>2025</v>
      </c>
      <c r="B5" t="s">
        <v>2</v>
      </c>
      <c r="C5" t="s">
        <v>25</v>
      </c>
      <c r="D5" s="1" t="str" cm="1">
        <f t="array" aca="1" ref="D5" ca="1">_xlfn.XLOOKUP(B5&amp;C5, INDIRECT("'"&amp;A5&amp;"'!$A:$A") &amp; INDIRECT("'"&amp;A5&amp;"'!$B:$B"), INDIRECT("'"&amp;A5&amp;"'!$C:$C"), "NOT ARTICULATED")</f>
        <v>NOT ARTICULATED</v>
      </c>
    </row>
    <row r="6" spans="1:5" ht="17" x14ac:dyDescent="0.25">
      <c r="A6">
        <v>2025</v>
      </c>
      <c r="B6" t="s">
        <v>2</v>
      </c>
      <c r="C6" t="s">
        <v>14</v>
      </c>
      <c r="D6" s="1" t="str" cm="1">
        <f t="array" aca="1" ref="D6" ca="1">_xlfn.XLOOKUP(B6&amp;C6, INDIRECT("'"&amp;A6&amp;"'!$A:$A") &amp; INDIRECT("'"&amp;A6&amp;"'!$B:$B"), INDIRECT("'"&amp;A6&amp;"'!$C:$C"), "NOT ARTICULATED")</f>
        <v>CHEMISTRY 3</v>
      </c>
    </row>
    <row r="7" spans="1:5" ht="17" x14ac:dyDescent="0.25">
      <c r="A7">
        <v>2025</v>
      </c>
      <c r="B7" t="s">
        <v>4</v>
      </c>
      <c r="C7" t="s">
        <v>24</v>
      </c>
      <c r="D7" s="1" t="str" cm="1">
        <f t="array" aca="1" ref="D7" ca="1">_xlfn.XLOOKUP(B7&amp;C7, INDIRECT("'"&amp;A7&amp;"'!$A:$A") &amp; INDIRECT("'"&amp;A7&amp;"'!$B:$B"), INDIRECT("'"&amp;A7&amp;"'!$C:$C"), "NOT ARTICULATED")</f>
        <v>NOT ARTICULATED</v>
      </c>
    </row>
    <row r="8" spans="1:5" ht="17" x14ac:dyDescent="0.25">
      <c r="A8">
        <v>2024</v>
      </c>
      <c r="B8" t="s">
        <v>4</v>
      </c>
      <c r="C8" t="s">
        <v>13</v>
      </c>
      <c r="D8" s="1" t="str" cm="1">
        <f t="array" aca="1" ref="D8" ca="1">_xlfn.XLOOKUP(B8&amp;C8, INDIRECT("'"&amp;A8&amp;"'!$A:$A") &amp; INDIRECT("'"&amp;A8&amp;"'!$B:$B"), INDIRECT("'"&amp;A8&amp;"'!$C:$C"), "NOT ARTICULATED")</f>
        <v>BIOLOGY 1</v>
      </c>
    </row>
    <row r="9" spans="1:5" ht="17" x14ac:dyDescent="0.25">
      <c r="A9">
        <v>2024</v>
      </c>
      <c r="B9" t="s">
        <v>2</v>
      </c>
      <c r="C9" t="s">
        <v>12</v>
      </c>
      <c r="D9" s="1" t="str" cm="1">
        <f t="array" aca="1" ref="D9" ca="1">_xlfn.XLOOKUP(B9&amp;C9, INDIRECT("'"&amp;A9&amp;"'!$A:$A") &amp; INDIRECT("'"&amp;A9&amp;"'!$B:$B"), INDIRECT("'"&amp;A9&amp;"'!$C:$C"), "NOT ARTICULATED")</f>
        <v>BIOLOGY 2</v>
      </c>
    </row>
    <row r="10" spans="1:5" ht="17" x14ac:dyDescent="0.25">
      <c r="A10">
        <v>2024</v>
      </c>
      <c r="B10" t="s">
        <v>4</v>
      </c>
      <c r="C10" t="s">
        <v>11</v>
      </c>
      <c r="D10" s="1" t="str" cm="1">
        <f t="array" aca="1" ref="D10" ca="1">_xlfn.XLOOKUP(B10&amp;C10, INDIRECT("'"&amp;A10&amp;"'!$A:$A") &amp; INDIRECT("'"&amp;A10&amp;"'!$B:$B"), INDIRECT("'"&amp;A10&amp;"'!$C:$C"), "NOT ARTICULATED")</f>
        <v>BIOLOGY 3 -- 1 of 2</v>
      </c>
    </row>
    <row r="11" spans="1:5" ht="17" x14ac:dyDescent="0.25">
      <c r="A11">
        <v>2025</v>
      </c>
      <c r="B11" t="s">
        <v>2</v>
      </c>
      <c r="C11" t="s">
        <v>9</v>
      </c>
      <c r="D11" s="1" t="str" cm="1">
        <f t="array" aca="1" ref="D11" ca="1">_xlfn.XLOOKUP(B11&amp;C11, INDIRECT("'"&amp;A11&amp;"'!$A:$A") &amp; INDIRECT("'"&amp;A11&amp;"'!$B:$B"), INDIRECT("'"&amp;A11&amp;"'!$C:$C"), "NOT ARTICULATED")</f>
        <v>BIOLOGY 3 -- 2 of 2</v>
      </c>
    </row>
    <row r="12" spans="1:5" ht="17" x14ac:dyDescent="0.25">
      <c r="A12">
        <v>2025</v>
      </c>
      <c r="B12" t="s">
        <v>10</v>
      </c>
      <c r="C12" t="s">
        <v>37</v>
      </c>
      <c r="D12" s="1" t="str" cm="1">
        <f t="array" aca="1" ref="D12" ca="1">_xlfn.XLOOKUP(B12&amp;C12, INDIRECT("'"&amp;A12&amp;"'!$A:$A") &amp; INDIRECT("'"&amp;A12&amp;"'!$B:$B"), INDIRECT("'"&amp;A12&amp;"'!$C:$C"), "NOT ARTICULATED")</f>
        <v>MATH 2</v>
      </c>
    </row>
    <row r="13" spans="1:5" ht="17" x14ac:dyDescent="0.25">
      <c r="A13">
        <v>2025</v>
      </c>
      <c r="B13" t="s">
        <v>10</v>
      </c>
      <c r="C13" t="s">
        <v>40</v>
      </c>
      <c r="D13" s="1" t="str" cm="1">
        <f t="array" aca="1" ref="D13" ca="1">_xlfn.XLOOKUP(B13&amp;C13, INDIRECT("'"&amp;A13&amp;"'!$A:$A") &amp; INDIRECT("'"&amp;A13&amp;"'!$B:$B"), INDIRECT("'"&amp;A13&amp;"'!$C:$C"), "NOT ARTICULATED")</f>
        <v>NOT ARTICULATED</v>
      </c>
    </row>
    <row r="14" spans="1:5" ht="17" x14ac:dyDescent="0.25">
      <c r="A14">
        <v>2025</v>
      </c>
      <c r="B14" t="s">
        <v>10</v>
      </c>
      <c r="C14" t="s">
        <v>39</v>
      </c>
      <c r="D14" s="1" t="str" cm="1">
        <f t="array" aca="1" ref="D14" ca="1">_xlfn.XLOOKUP(B14&amp;C14, INDIRECT("'"&amp;A14&amp;"'!$A:$A") &amp; INDIRECT("'"&amp;A14&amp;"'!$B:$B"), INDIRECT("'"&amp;A14&amp;"'!$C:$C"), "NOT ARTICULATED")</f>
        <v>CHEMISTRY 4</v>
      </c>
    </row>
    <row r="15" spans="1:5" ht="17" x14ac:dyDescent="0.25">
      <c r="D15" s="1"/>
    </row>
    <row r="16" spans="1:5" ht="17" x14ac:dyDescent="0.25">
      <c r="D16" s="1"/>
    </row>
    <row r="17" spans="4:4" ht="17" x14ac:dyDescent="0.25">
      <c r="D17" s="1"/>
    </row>
    <row r="18" spans="4:4" ht="17" x14ac:dyDescent="0.25">
      <c r="D18" s="1"/>
    </row>
    <row r="19" spans="4:4" ht="17" x14ac:dyDescent="0.25">
      <c r="D19" s="1"/>
    </row>
    <row r="20" spans="4:4" ht="17" x14ac:dyDescent="0.25">
      <c r="D20" s="1"/>
    </row>
    <row r="21" spans="4:4" ht="17" x14ac:dyDescent="0.25">
      <c r="D21" s="1"/>
    </row>
    <row r="22" spans="4:4" ht="17" x14ac:dyDescent="0.25">
      <c r="D22" s="1"/>
    </row>
    <row r="23" spans="4:4" ht="17" x14ac:dyDescent="0.25">
      <c r="D23" s="1"/>
    </row>
    <row r="24" spans="4:4" ht="17" x14ac:dyDescent="0.25">
      <c r="D24" s="1"/>
    </row>
    <row r="25" spans="4:4" ht="17" x14ac:dyDescent="0.25">
      <c r="D25" s="1"/>
    </row>
    <row r="26" spans="4:4" ht="17" x14ac:dyDescent="0.25">
      <c r="D26" s="1"/>
    </row>
    <row r="27" spans="4:4" ht="17" x14ac:dyDescent="0.25">
      <c r="D27" s="1"/>
    </row>
    <row r="28" spans="4:4" ht="17" x14ac:dyDescent="0.25">
      <c r="D28" s="1"/>
    </row>
    <row r="29" spans="4:4" ht="17" x14ac:dyDescent="0.25">
      <c r="D29" s="1"/>
    </row>
    <row r="30" spans="4:4" ht="17" x14ac:dyDescent="0.25">
      <c r="D30" s="1"/>
    </row>
    <row r="31" spans="4:4" ht="17" x14ac:dyDescent="0.25">
      <c r="D31" s="1"/>
    </row>
    <row r="32" spans="4:4" ht="17" x14ac:dyDescent="0.25">
      <c r="D32" s="1"/>
    </row>
    <row r="33" spans="4:4" ht="17" x14ac:dyDescent="0.25">
      <c r="D33" s="1"/>
    </row>
    <row r="34" spans="4:4" ht="17" x14ac:dyDescent="0.25">
      <c r="D34" s="1"/>
    </row>
    <row r="35" spans="4:4" ht="17" x14ac:dyDescent="0.25">
      <c r="D35" s="1"/>
    </row>
    <row r="36" spans="4:4" ht="17" x14ac:dyDescent="0.25">
      <c r="D36" s="1"/>
    </row>
    <row r="37" spans="4:4" ht="17" x14ac:dyDescent="0.25">
      <c r="D37" s="1"/>
    </row>
    <row r="38" spans="4:4" ht="17" x14ac:dyDescent="0.25">
      <c r="D38" s="1"/>
    </row>
    <row r="39" spans="4:4" ht="17" x14ac:dyDescent="0.25">
      <c r="D39" s="1"/>
    </row>
    <row r="40" spans="4:4" ht="17" x14ac:dyDescent="0.25">
      <c r="D40" s="1"/>
    </row>
    <row r="41" spans="4:4" ht="17" x14ac:dyDescent="0.25">
      <c r="D41" s="1"/>
    </row>
    <row r="42" spans="4:4" ht="17" x14ac:dyDescent="0.25">
      <c r="D42" s="1"/>
    </row>
    <row r="43" spans="4:4" ht="17" x14ac:dyDescent="0.25">
      <c r="D43" s="1"/>
    </row>
    <row r="44" spans="4:4" ht="17" x14ac:dyDescent="0.25">
      <c r="D44" s="1"/>
    </row>
    <row r="45" spans="4:4" ht="17" x14ac:dyDescent="0.25">
      <c r="D45" s="1"/>
    </row>
    <row r="46" spans="4:4" ht="17" x14ac:dyDescent="0.25">
      <c r="D46" s="1"/>
    </row>
    <row r="47" spans="4:4" ht="17" x14ac:dyDescent="0.25">
      <c r="D47" s="1"/>
    </row>
    <row r="48" spans="4:4" ht="17" x14ac:dyDescent="0.25">
      <c r="D48" s="1"/>
    </row>
    <row r="49" spans="4:4" ht="17" x14ac:dyDescent="0.25">
      <c r="D49" s="1"/>
    </row>
    <row r="50" spans="4:4" ht="17" x14ac:dyDescent="0.25">
      <c r="D50" s="1"/>
    </row>
    <row r="51" spans="4:4" ht="17" x14ac:dyDescent="0.25">
      <c r="D51" s="1"/>
    </row>
    <row r="52" spans="4:4" ht="17" x14ac:dyDescent="0.25">
      <c r="D5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D3682-2471-9641-A2F6-E5521971609F}">
  <dimension ref="A1:H5"/>
  <sheetViews>
    <sheetView workbookViewId="0">
      <selection activeCell="K4" sqref="K4"/>
    </sheetView>
  </sheetViews>
  <sheetFormatPr baseColWidth="10" defaultRowHeight="16" x14ac:dyDescent="0.2"/>
  <cols>
    <col min="1" max="1" width="15.83203125" style="7" customWidth="1"/>
    <col min="2" max="2" width="10.83203125" style="7"/>
    <col min="3" max="3" width="19.33203125" style="7" customWidth="1"/>
    <col min="4" max="4" width="10.83203125" style="7"/>
    <col min="5" max="5" width="20.5" style="7" customWidth="1"/>
    <col min="6" max="6" width="19.6640625" style="7" customWidth="1"/>
    <col min="7" max="7" width="10.83203125" style="7"/>
    <col min="8" max="8" width="18.5" style="7" customWidth="1"/>
    <col min="9" max="16384" width="10.83203125" style="7"/>
  </cols>
  <sheetData>
    <row r="1" spans="1:8" s="5" customFormat="1" ht="68" x14ac:dyDescent="0.2">
      <c r="A1" s="6" t="s">
        <v>33</v>
      </c>
      <c r="C1" s="5" t="s">
        <v>26</v>
      </c>
      <c r="E1" s="5" t="s">
        <v>30</v>
      </c>
      <c r="H1" s="9" t="s">
        <v>41</v>
      </c>
    </row>
    <row r="2" spans="1:8" x14ac:dyDescent="0.2">
      <c r="A2" s="8">
        <f ca="1">COUNTIF(StudentData!$D$2:$D$100, "NOT ARTICULATED")</f>
        <v>5</v>
      </c>
      <c r="C2" s="7" t="str" cm="1">
        <f t="array" aca="1" ref="C2" ca="1">_xlfn._xlws.FILTER(RequirementsList, ISNA(MATCH(RequirementsList, StudentData!$D$2:$D$100, 0)), "All Requirements Met! ✅")</f>
        <v>CHEMISTRY 2</v>
      </c>
      <c r="E2" s="7" t="s">
        <v>29</v>
      </c>
      <c r="F2" s="7" t="str" cm="1">
        <f t="array" aca="1" ref="F2" ca="1">IFERROR(IF(ROWS(_xlfn.UNIQUE(_xlfn._xlws.FILTER(StudentData!$B$2:$B$100, ISNUMBER(SEARCH("*"&amp;E2&amp;"*", StudentData!$D$2:$D$100))))) &gt; 1, "❌ MIXED SCHOOLS", "✅ OK"), "Courses Not Found")</f>
        <v>❌ MIXED SCHOOLS</v>
      </c>
      <c r="H2" s="7" t="e" cm="1">
        <f t="array" aca="1" ref="H2" ca="1">_xlfn._xlws.FILTER(StronglyRec_List,MATCH(StronglyRec_List, StudentData!$D$2:$D$100, 0), 0)</f>
        <v>#N/A</v>
      </c>
    </row>
    <row r="3" spans="1:8" x14ac:dyDescent="0.2">
      <c r="E3" s="7" t="s">
        <v>27</v>
      </c>
      <c r="F3" s="7" t="str" cm="1">
        <f t="array" aca="1" ref="F3" ca="1">IFERROR(IF(ROWS(_xlfn.UNIQUE(_xlfn._xlws.FILTER(StudentData!$B$2:$B$100, ISNUMBER(SEARCH("*"&amp;E3&amp;"*", StudentData!$D$2:$D$100))))) &gt; 1, "❌ MIXED SCHOOLS", "✅ OK"), "Courses Not Found")</f>
        <v>Courses Not Found</v>
      </c>
    </row>
    <row r="4" spans="1:8" x14ac:dyDescent="0.2">
      <c r="E4" s="7" t="s">
        <v>28</v>
      </c>
      <c r="F4" s="7" t="str" cm="1">
        <f t="array" aca="1" ref="F4" ca="1">IFERROR(IF(ROWS(_xlfn.UNIQUE(_xlfn._xlws.FILTER(StudentData!$B$2:$B$100, ISNUMBER(SEARCH("*"&amp;E4&amp;"*", StudentData!$D$2:$D$100))))) &gt; 1, "❌ MIXED SCHOOLS", "✅ OK"), "Courses Not Found")</f>
        <v>❌ MIXED SCHOOLS</v>
      </c>
    </row>
    <row r="5" spans="1:8" x14ac:dyDescent="0.2">
      <c r="E5" s="7" t="s">
        <v>31</v>
      </c>
      <c r="F5" s="7" t="str" cm="1">
        <f t="array" aca="1" ref="F5" ca="1">IFERROR(IF(ROWS(_xlfn.UNIQUE(_xlfn._xlws.FILTER(StudentData!$B$2:$B$100, ISNUMBER(SEARCH("*"&amp;E5&amp;"*", StudentData!$D$2:$D$100))))) &gt; 1, "❌ MIXED SCHOOLS", "✅ OK"), "Courses Not Found")</f>
        <v>❌ MIXED SCHOOLS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59ABD-1C47-7A4B-841F-10FFFED536AE}">
  <dimension ref="A1:B8"/>
  <sheetViews>
    <sheetView workbookViewId="0">
      <selection activeCell="B1" sqref="B1"/>
    </sheetView>
  </sheetViews>
  <sheetFormatPr baseColWidth="10" defaultRowHeight="16" x14ac:dyDescent="0.2"/>
  <cols>
    <col min="1" max="1" width="20" customWidth="1"/>
    <col min="2" max="2" width="18.5" customWidth="1"/>
    <col min="3" max="3" width="15.6640625" customWidth="1"/>
  </cols>
  <sheetData>
    <row r="1" spans="1:2" x14ac:dyDescent="0.2">
      <c r="A1" s="3" t="s">
        <v>32</v>
      </c>
      <c r="B1" s="3" t="s">
        <v>42</v>
      </c>
    </row>
    <row r="2" spans="1:2" x14ac:dyDescent="0.2">
      <c r="A2" t="s">
        <v>0</v>
      </c>
      <c r="B2" t="s">
        <v>43</v>
      </c>
    </row>
    <row r="3" spans="1:2" x14ac:dyDescent="0.2">
      <c r="A3" t="s">
        <v>1</v>
      </c>
      <c r="B3" t="s">
        <v>44</v>
      </c>
    </row>
    <row r="4" spans="1:2" x14ac:dyDescent="0.2">
      <c r="A4" t="s">
        <v>3</v>
      </c>
      <c r="B4" t="s">
        <v>44</v>
      </c>
    </row>
    <row r="5" spans="1:2" x14ac:dyDescent="0.2">
      <c r="A5" t="s">
        <v>5</v>
      </c>
      <c r="B5" t="s">
        <v>45</v>
      </c>
    </row>
    <row r="6" spans="1:2" x14ac:dyDescent="0.2">
      <c r="A6" t="s">
        <v>6</v>
      </c>
      <c r="B6" t="s">
        <v>45</v>
      </c>
    </row>
    <row r="7" spans="1:2" x14ac:dyDescent="0.2">
      <c r="A7" t="s">
        <v>7</v>
      </c>
      <c r="B7" t="s">
        <v>43</v>
      </c>
    </row>
    <row r="8" spans="1:2" x14ac:dyDescent="0.2">
      <c r="A8" t="s">
        <v>8</v>
      </c>
      <c r="B8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774E-A70C-E344-9CD2-D82F38A28AE3}">
  <dimension ref="A1:B4"/>
  <sheetViews>
    <sheetView workbookViewId="0">
      <selection activeCell="B14" sqref="B14"/>
    </sheetView>
  </sheetViews>
  <sheetFormatPr baseColWidth="10" defaultRowHeight="16" x14ac:dyDescent="0.2"/>
  <cols>
    <col min="1" max="1" width="18.1640625" customWidth="1"/>
    <col min="2" max="2" width="15.5" customWidth="1"/>
    <col min="3" max="3" width="15.6640625" customWidth="1"/>
  </cols>
  <sheetData>
    <row r="1" spans="1:2" x14ac:dyDescent="0.2">
      <c r="A1" s="3" t="s">
        <v>32</v>
      </c>
      <c r="B1" s="3" t="s">
        <v>42</v>
      </c>
    </row>
    <row r="2" spans="1:2" x14ac:dyDescent="0.2">
      <c r="A2" t="s">
        <v>34</v>
      </c>
      <c r="B2" t="s">
        <v>46</v>
      </c>
    </row>
    <row r="3" spans="1:2" x14ac:dyDescent="0.2">
      <c r="A3" t="s">
        <v>35</v>
      </c>
      <c r="B3" t="s">
        <v>46</v>
      </c>
    </row>
    <row r="4" spans="1:2" x14ac:dyDescent="0.2">
      <c r="A4" t="s">
        <v>36</v>
      </c>
      <c r="B4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88877-EBF3-674C-A1A0-7383689228D2}">
  <dimension ref="A1:D15"/>
  <sheetViews>
    <sheetView workbookViewId="0">
      <selection activeCell="A13" sqref="A13:C15"/>
    </sheetView>
  </sheetViews>
  <sheetFormatPr baseColWidth="10" defaultRowHeight="16" x14ac:dyDescent="0.2"/>
  <cols>
    <col min="1" max="1" width="14.1640625" customWidth="1"/>
    <col min="2" max="2" width="14.83203125" customWidth="1"/>
  </cols>
  <sheetData>
    <row r="1" spans="1:4" x14ac:dyDescent="0.2">
      <c r="A1" s="3" t="s">
        <v>18</v>
      </c>
      <c r="B1" s="3" t="s">
        <v>19</v>
      </c>
      <c r="C1" s="3" t="s">
        <v>21</v>
      </c>
      <c r="D1" s="3"/>
    </row>
    <row r="2" spans="1:4" x14ac:dyDescent="0.2">
      <c r="A2" t="s">
        <v>2</v>
      </c>
      <c r="B2" t="s">
        <v>16</v>
      </c>
      <c r="C2" t="s">
        <v>0</v>
      </c>
    </row>
    <row r="3" spans="1:4" x14ac:dyDescent="0.2">
      <c r="A3" t="s">
        <v>2</v>
      </c>
      <c r="B3" t="s">
        <v>15</v>
      </c>
      <c r="C3" t="s">
        <v>1</v>
      </c>
    </row>
    <row r="4" spans="1:4" x14ac:dyDescent="0.2">
      <c r="A4" t="s">
        <v>2</v>
      </c>
      <c r="B4" t="s">
        <v>14</v>
      </c>
      <c r="C4" t="s">
        <v>3</v>
      </c>
    </row>
    <row r="5" spans="1:4" x14ac:dyDescent="0.2">
      <c r="A5" t="s">
        <v>2</v>
      </c>
      <c r="B5" t="s">
        <v>13</v>
      </c>
      <c r="C5" t="s">
        <v>5</v>
      </c>
    </row>
    <row r="6" spans="1:4" x14ac:dyDescent="0.2">
      <c r="A6" t="s">
        <v>2</v>
      </c>
      <c r="B6" t="s">
        <v>12</v>
      </c>
      <c r="C6" t="s">
        <v>6</v>
      </c>
    </row>
    <row r="7" spans="1:4" x14ac:dyDescent="0.2">
      <c r="A7" t="s">
        <v>2</v>
      </c>
      <c r="B7" t="s">
        <v>11</v>
      </c>
      <c r="C7" t="s">
        <v>7</v>
      </c>
    </row>
    <row r="8" spans="1:4" x14ac:dyDescent="0.2">
      <c r="A8" t="s">
        <v>2</v>
      </c>
      <c r="B8" t="s">
        <v>9</v>
      </c>
      <c r="C8" t="s">
        <v>8</v>
      </c>
    </row>
    <row r="9" spans="1:4" x14ac:dyDescent="0.2">
      <c r="A9" t="s">
        <v>4</v>
      </c>
      <c r="B9" t="s">
        <v>13</v>
      </c>
      <c r="C9" t="s">
        <v>5</v>
      </c>
    </row>
    <row r="10" spans="1:4" x14ac:dyDescent="0.2">
      <c r="A10" t="s">
        <v>4</v>
      </c>
      <c r="B10" t="s">
        <v>12</v>
      </c>
      <c r="C10" t="s">
        <v>6</v>
      </c>
    </row>
    <row r="11" spans="1:4" x14ac:dyDescent="0.2">
      <c r="A11" t="s">
        <v>4</v>
      </c>
      <c r="B11" t="s">
        <v>11</v>
      </c>
      <c r="C11" t="s">
        <v>7</v>
      </c>
    </row>
    <row r="12" spans="1:4" x14ac:dyDescent="0.2">
      <c r="A12" t="s">
        <v>10</v>
      </c>
      <c r="B12" t="s">
        <v>9</v>
      </c>
      <c r="C12" t="s">
        <v>8</v>
      </c>
    </row>
    <row r="13" spans="1:4" x14ac:dyDescent="0.2">
      <c r="A13" t="s">
        <v>10</v>
      </c>
      <c r="B13" t="s">
        <v>37</v>
      </c>
      <c r="C13" t="s">
        <v>34</v>
      </c>
    </row>
    <row r="14" spans="1:4" x14ac:dyDescent="0.2">
      <c r="A14" t="s">
        <v>10</v>
      </c>
      <c r="B14" t="s">
        <v>38</v>
      </c>
      <c r="C14" t="s">
        <v>35</v>
      </c>
    </row>
    <row r="15" spans="1:4" x14ac:dyDescent="0.2">
      <c r="A15" t="s">
        <v>10</v>
      </c>
      <c r="B15" t="s">
        <v>39</v>
      </c>
      <c r="C15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9B34D-22CE-F74A-8661-1F560E3CAFB2}">
  <dimension ref="A1:D15"/>
  <sheetViews>
    <sheetView workbookViewId="0">
      <selection activeCell="A13" sqref="A13:C15"/>
    </sheetView>
  </sheetViews>
  <sheetFormatPr baseColWidth="10" defaultRowHeight="16" x14ac:dyDescent="0.2"/>
  <cols>
    <col min="1" max="1" width="15.1640625" customWidth="1"/>
    <col min="2" max="2" width="14.33203125" customWidth="1"/>
    <col min="3" max="3" width="23" customWidth="1"/>
  </cols>
  <sheetData>
    <row r="1" spans="1:4" x14ac:dyDescent="0.2">
      <c r="A1" s="3" t="s">
        <v>18</v>
      </c>
      <c r="B1" s="3" t="s">
        <v>19</v>
      </c>
      <c r="C1" s="3" t="s">
        <v>21</v>
      </c>
      <c r="D1" s="3"/>
    </row>
    <row r="2" spans="1:4" x14ac:dyDescent="0.2">
      <c r="A2" t="s">
        <v>2</v>
      </c>
      <c r="B2" t="s">
        <v>16</v>
      </c>
      <c r="C2" t="s">
        <v>0</v>
      </c>
    </row>
    <row r="3" spans="1:4" x14ac:dyDescent="0.2">
      <c r="A3" t="s">
        <v>2</v>
      </c>
      <c r="B3" t="s">
        <v>15</v>
      </c>
      <c r="C3" t="s">
        <v>1</v>
      </c>
    </row>
    <row r="4" spans="1:4" x14ac:dyDescent="0.2">
      <c r="A4" t="s">
        <v>2</v>
      </c>
      <c r="B4" t="s">
        <v>14</v>
      </c>
      <c r="C4" t="s">
        <v>3</v>
      </c>
    </row>
    <row r="5" spans="1:4" x14ac:dyDescent="0.2">
      <c r="A5" t="s">
        <v>2</v>
      </c>
      <c r="B5" t="s">
        <v>13</v>
      </c>
      <c r="C5" t="s">
        <v>5</v>
      </c>
    </row>
    <row r="6" spans="1:4" x14ac:dyDescent="0.2">
      <c r="A6" t="s">
        <v>2</v>
      </c>
      <c r="B6" t="s">
        <v>12</v>
      </c>
      <c r="C6" t="s">
        <v>6</v>
      </c>
    </row>
    <row r="7" spans="1:4" x14ac:dyDescent="0.2">
      <c r="A7" t="s">
        <v>2</v>
      </c>
      <c r="B7" t="s">
        <v>11</v>
      </c>
      <c r="C7" t="s">
        <v>7</v>
      </c>
    </row>
    <row r="8" spans="1:4" x14ac:dyDescent="0.2">
      <c r="A8" t="s">
        <v>2</v>
      </c>
      <c r="B8" t="s">
        <v>9</v>
      </c>
      <c r="C8" t="s">
        <v>8</v>
      </c>
    </row>
    <row r="9" spans="1:4" x14ac:dyDescent="0.2">
      <c r="A9" t="s">
        <v>4</v>
      </c>
      <c r="B9" t="s">
        <v>13</v>
      </c>
      <c r="C9" t="s">
        <v>5</v>
      </c>
    </row>
    <row r="10" spans="1:4" x14ac:dyDescent="0.2">
      <c r="A10" t="s">
        <v>4</v>
      </c>
      <c r="B10" t="s">
        <v>12</v>
      </c>
      <c r="C10" t="s">
        <v>6</v>
      </c>
    </row>
    <row r="11" spans="1:4" x14ac:dyDescent="0.2">
      <c r="A11" t="s">
        <v>4</v>
      </c>
      <c r="B11" t="s">
        <v>11</v>
      </c>
      <c r="C11" t="s">
        <v>7</v>
      </c>
    </row>
    <row r="12" spans="1:4" x14ac:dyDescent="0.2">
      <c r="A12" t="s">
        <v>10</v>
      </c>
      <c r="B12" t="s">
        <v>9</v>
      </c>
      <c r="C12" t="s">
        <v>8</v>
      </c>
    </row>
    <row r="13" spans="1:4" x14ac:dyDescent="0.2">
      <c r="A13" t="s">
        <v>10</v>
      </c>
      <c r="B13" t="s">
        <v>37</v>
      </c>
      <c r="C13" t="s">
        <v>34</v>
      </c>
    </row>
    <row r="14" spans="1:4" x14ac:dyDescent="0.2">
      <c r="A14" t="s">
        <v>10</v>
      </c>
      <c r="B14" t="s">
        <v>40</v>
      </c>
      <c r="C14" t="s">
        <v>35</v>
      </c>
    </row>
    <row r="15" spans="1:4" x14ac:dyDescent="0.2">
      <c r="A15" t="s">
        <v>10</v>
      </c>
      <c r="B15" t="s">
        <v>39</v>
      </c>
      <c r="C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How to</vt:lpstr>
      <vt:lpstr>StudentData</vt:lpstr>
      <vt:lpstr>Validator</vt:lpstr>
      <vt:lpstr>Berkeley_REQ</vt:lpstr>
      <vt:lpstr>Berkeley_StronglyRec</vt:lpstr>
      <vt:lpstr>2025</vt:lpstr>
      <vt:lpstr>2024</vt:lpstr>
      <vt:lpstr>Berkeley_StronglyRec!MyList</vt:lpstr>
      <vt:lpstr>MyList</vt:lpstr>
      <vt:lpstr>RequirementsList</vt:lpstr>
      <vt:lpstr>StronglyRec_List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Lizzie HagerBarnard</dc:creator>
  <cp:lastModifiedBy>Edward Barnard</cp:lastModifiedBy>
  <dcterms:created xsi:type="dcterms:W3CDTF">2026-03-03T17:53:35Z</dcterms:created>
  <dcterms:modified xsi:type="dcterms:W3CDTF">2026-03-04T04:15:42Z</dcterms:modified>
</cp:coreProperties>
</file>